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8d1269370f6084a/Desktop/Freelancing/Data Entry/Expense_Data_Analysis/"/>
    </mc:Choice>
  </mc:AlternateContent>
  <xr:revisionPtr revIDLastSave="9" documentId="11_F25DC773A252ABDACC10488F295D5EFC5BDE58EE" xr6:coauthVersionLast="47" xr6:coauthVersionMax="47" xr10:uidLastSave="{802AB739-9AAC-40DD-B593-0C2C6843AB04}"/>
  <bookViews>
    <workbookView xWindow="-96" yWindow="0" windowWidth="14016" windowHeight="12336" xr2:uid="{00000000-000D-0000-FFFF-FFFF00000000}"/>
  </bookViews>
  <sheets>
    <sheet name="Expense Analysis" sheetId="1" r:id="rId1"/>
  </sheets>
  <definedNames>
    <definedName name="_xlnm._FilterDatabase" localSheetId="0" hidden="1">'Expense Analysis'!$A$1:$F$31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2" i="1"/>
</calcChain>
</file>

<file path=xl/sharedStrings.xml><?xml version="1.0" encoding="utf-8"?>
<sst xmlns="http://schemas.openxmlformats.org/spreadsheetml/2006/main" count="161" uniqueCount="84">
  <si>
    <t>Expense ID</t>
  </si>
  <si>
    <t>Category</t>
  </si>
  <si>
    <t>Description</t>
  </si>
  <si>
    <t>Amount</t>
  </si>
  <si>
    <t>Payment Method</t>
  </si>
  <si>
    <t>Month</t>
  </si>
  <si>
    <t>EX001</t>
  </si>
  <si>
    <t>Office Supplies</t>
  </si>
  <si>
    <t>Printer Paper</t>
  </si>
  <si>
    <t>UPI</t>
  </si>
  <si>
    <t>January</t>
  </si>
  <si>
    <t>EX002</t>
  </si>
  <si>
    <t>Travel</t>
  </si>
  <si>
    <t>Bus Ticket</t>
  </si>
  <si>
    <t>Cash</t>
  </si>
  <si>
    <t>EX003</t>
  </si>
  <si>
    <t>Software</t>
  </si>
  <si>
    <t>Cloud Subscription</t>
  </si>
  <si>
    <t>Card</t>
  </si>
  <si>
    <t>EX004</t>
  </si>
  <si>
    <t>Food</t>
  </si>
  <si>
    <t>Team Lunch</t>
  </si>
  <si>
    <t>EX005</t>
  </si>
  <si>
    <t>Auto Fare</t>
  </si>
  <si>
    <t>February</t>
  </si>
  <si>
    <t>EX006</t>
  </si>
  <si>
    <t>Pens and Notebooks</t>
  </si>
  <si>
    <t>EX007</t>
  </si>
  <si>
    <t>Antivirus Subscription</t>
  </si>
  <si>
    <t>EX008</t>
  </si>
  <si>
    <t>Marketing</t>
  </si>
  <si>
    <t>Online Advertisement</t>
  </si>
  <si>
    <t>EX009</t>
  </si>
  <si>
    <t>Client Lunch</t>
  </si>
  <si>
    <t>March</t>
  </si>
  <si>
    <t>EX010</t>
  </si>
  <si>
    <t>Train Ticket</t>
  </si>
  <si>
    <t>EX011</t>
  </si>
  <si>
    <t>Printer Ink</t>
  </si>
  <si>
    <t>EX012</t>
  </si>
  <si>
    <t>Design Tool Subscription</t>
  </si>
  <si>
    <t>EX013</t>
  </si>
  <si>
    <t>Social Media Promotion</t>
  </si>
  <si>
    <t>April</t>
  </si>
  <si>
    <t>EX014</t>
  </si>
  <si>
    <t>Team Breakfast</t>
  </si>
  <si>
    <t>EX015</t>
  </si>
  <si>
    <t>Cab Fare</t>
  </si>
  <si>
    <t>EX016</t>
  </si>
  <si>
    <t>Files and Folders</t>
  </si>
  <si>
    <t>EX017</t>
  </si>
  <si>
    <t>Cloud Storage</t>
  </si>
  <si>
    <t>May</t>
  </si>
  <si>
    <t>EX018</t>
  </si>
  <si>
    <t>Online Campaign</t>
  </si>
  <si>
    <t>EX019</t>
  </si>
  <si>
    <t>Team Dinner</t>
  </si>
  <si>
    <t>EX020</t>
  </si>
  <si>
    <t>Flight Ticket</t>
  </si>
  <si>
    <t>EX021</t>
  </si>
  <si>
    <t>Desk Accessories</t>
  </si>
  <si>
    <t>June</t>
  </si>
  <si>
    <t>EX022</t>
  </si>
  <si>
    <t>Project Management Tool</t>
  </si>
  <si>
    <t>EX023</t>
  </si>
  <si>
    <t>Advertisement Design</t>
  </si>
  <si>
    <t>EX024</t>
  </si>
  <si>
    <t>Client Meeting Food</t>
  </si>
  <si>
    <t>EX025</t>
  </si>
  <si>
    <t>July</t>
  </si>
  <si>
    <t>EX026</t>
  </si>
  <si>
    <t>Stationery</t>
  </si>
  <si>
    <t>EX027</t>
  </si>
  <si>
    <t>Email Service</t>
  </si>
  <si>
    <t>EX028</t>
  </si>
  <si>
    <t>Online Promotion</t>
  </si>
  <si>
    <t>EX029</t>
  </si>
  <si>
    <t>August</t>
  </si>
  <si>
    <t>EX030</t>
  </si>
  <si>
    <t>Total Expense</t>
  </si>
  <si>
    <t>Number of Expenses</t>
  </si>
  <si>
    <t>Average Expense</t>
  </si>
  <si>
    <t>Highest Expense</t>
  </si>
  <si>
    <t>Lowest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</si>
</sst>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79" workbookViewId="0">
      <selection activeCell="I11" sqref="I11"/>
    </sheetView>
  </sheetViews>
  <sheetFormatPr defaultRowHeight="14.4" x14ac:dyDescent="0.3"/>
  <cols>
    <col min="1" max="1" width="9.88671875" bestFit="1" customWidth="1"/>
    <col min="2" max="2" width="13.109375" bestFit="1" customWidth="1"/>
    <col min="3" max="3" width="22.44140625" bestFit="1" customWidth="1"/>
    <col min="4" max="4" width="9.44140625" bestFit="1" customWidth="1"/>
    <col min="5" max="5" width="15.109375" bestFit="1" customWidth="1"/>
    <col min="6" max="6" width="8.109375" bestFit="1" customWidth="1"/>
    <col min="8" max="8" width="17.88671875" bestFit="1" customWidth="1"/>
    <col min="9" max="9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9" x14ac:dyDescent="0.3">
      <c r="A2" t="s">
        <v>57</v>
      </c>
      <c r="B2" t="s">
        <v>12</v>
      </c>
      <c r="C2" t="s">
        <v>58</v>
      </c>
      <c r="D2" s="3">
        <v>4500</v>
      </c>
      <c r="E2" t="s">
        <v>18</v>
      </c>
      <c r="F2" t="s">
        <v>52</v>
      </c>
      <c r="H2" s="1" t="s">
        <v>79</v>
      </c>
      <c r="I2" s="3">
        <f>SUM(D2:D31)</f>
        <v>52850</v>
      </c>
    </row>
    <row r="3" spans="1:9" x14ac:dyDescent="0.3">
      <c r="A3" t="s">
        <v>53</v>
      </c>
      <c r="B3" t="s">
        <v>30</v>
      </c>
      <c r="C3" t="s">
        <v>54</v>
      </c>
      <c r="D3" s="3">
        <v>3500</v>
      </c>
      <c r="E3" t="s">
        <v>18</v>
      </c>
      <c r="F3" t="s">
        <v>52</v>
      </c>
      <c r="H3" s="1" t="s">
        <v>80</v>
      </c>
      <c r="I3">
        <f>COUNTA(A2:A31)</f>
        <v>30</v>
      </c>
    </row>
    <row r="4" spans="1:9" x14ac:dyDescent="0.3">
      <c r="A4" t="s">
        <v>29</v>
      </c>
      <c r="B4" t="s">
        <v>30</v>
      </c>
      <c r="C4" t="s">
        <v>31</v>
      </c>
      <c r="D4" s="3">
        <v>3200</v>
      </c>
      <c r="E4" t="s">
        <v>18</v>
      </c>
      <c r="F4" t="s">
        <v>24</v>
      </c>
      <c r="H4" s="1" t="s">
        <v>81</v>
      </c>
      <c r="I4" s="3">
        <f>AVERAGE(D2:D31)</f>
        <v>1761.6666666666667</v>
      </c>
    </row>
    <row r="5" spans="1:9" x14ac:dyDescent="0.3">
      <c r="A5" t="s">
        <v>74</v>
      </c>
      <c r="B5" t="s">
        <v>30</v>
      </c>
      <c r="C5" t="s">
        <v>75</v>
      </c>
      <c r="D5" s="3">
        <v>3000</v>
      </c>
      <c r="E5" t="s">
        <v>18</v>
      </c>
      <c r="F5" t="s">
        <v>69</v>
      </c>
      <c r="H5" s="1" t="s">
        <v>82</v>
      </c>
      <c r="I5" s="3">
        <f>MAX(D2:D31)</f>
        <v>4500</v>
      </c>
    </row>
    <row r="6" spans="1:9" x14ac:dyDescent="0.3">
      <c r="A6" t="s">
        <v>41</v>
      </c>
      <c r="B6" t="s">
        <v>30</v>
      </c>
      <c r="C6" t="s">
        <v>42</v>
      </c>
      <c r="D6" s="3">
        <v>2800</v>
      </c>
      <c r="E6" t="s">
        <v>9</v>
      </c>
      <c r="F6" t="s">
        <v>43</v>
      </c>
      <c r="H6" s="1" t="s">
        <v>83</v>
      </c>
      <c r="I6" s="3">
        <f>MIN(D2:D31)</f>
        <v>450</v>
      </c>
    </row>
    <row r="7" spans="1:9" x14ac:dyDescent="0.3">
      <c r="A7" t="s">
        <v>64</v>
      </c>
      <c r="B7" t="s">
        <v>30</v>
      </c>
      <c r="C7" t="s">
        <v>65</v>
      </c>
      <c r="D7" s="3">
        <v>2700</v>
      </c>
      <c r="E7" t="s">
        <v>9</v>
      </c>
      <c r="F7" t="s">
        <v>61</v>
      </c>
    </row>
    <row r="8" spans="1:9" x14ac:dyDescent="0.3">
      <c r="A8" t="s">
        <v>15</v>
      </c>
      <c r="B8" t="s">
        <v>16</v>
      </c>
      <c r="C8" t="s">
        <v>17</v>
      </c>
      <c r="D8" s="3">
        <v>2500</v>
      </c>
      <c r="E8" t="s">
        <v>18</v>
      </c>
      <c r="F8" t="s">
        <v>10</v>
      </c>
    </row>
    <row r="9" spans="1:9" x14ac:dyDescent="0.3">
      <c r="A9" t="s">
        <v>55</v>
      </c>
      <c r="B9" t="s">
        <v>20</v>
      </c>
      <c r="C9" t="s">
        <v>56</v>
      </c>
      <c r="D9" s="3">
        <v>2400</v>
      </c>
      <c r="E9" t="s">
        <v>9</v>
      </c>
      <c r="F9" t="s">
        <v>52</v>
      </c>
    </row>
    <row r="10" spans="1:9" x14ac:dyDescent="0.3">
      <c r="A10" t="s">
        <v>39</v>
      </c>
      <c r="B10" t="s">
        <v>16</v>
      </c>
      <c r="C10" t="s">
        <v>40</v>
      </c>
      <c r="D10" s="3">
        <v>2200</v>
      </c>
      <c r="E10" t="s">
        <v>18</v>
      </c>
      <c r="F10" t="s">
        <v>34</v>
      </c>
    </row>
    <row r="11" spans="1:9" x14ac:dyDescent="0.3">
      <c r="A11" t="s">
        <v>32</v>
      </c>
      <c r="B11" t="s">
        <v>20</v>
      </c>
      <c r="C11" t="s">
        <v>33</v>
      </c>
      <c r="D11" s="3">
        <v>2100</v>
      </c>
      <c r="E11" t="s">
        <v>9</v>
      </c>
      <c r="F11" t="s">
        <v>34</v>
      </c>
    </row>
    <row r="12" spans="1:9" x14ac:dyDescent="0.3">
      <c r="A12" t="s">
        <v>62</v>
      </c>
      <c r="B12" t="s">
        <v>16</v>
      </c>
      <c r="C12" t="s">
        <v>63</v>
      </c>
      <c r="D12" s="3">
        <v>1900</v>
      </c>
      <c r="E12" t="s">
        <v>18</v>
      </c>
      <c r="F12" t="s">
        <v>61</v>
      </c>
    </row>
    <row r="13" spans="1:9" x14ac:dyDescent="0.3">
      <c r="A13" t="s">
        <v>19</v>
      </c>
      <c r="B13" t="s">
        <v>20</v>
      </c>
      <c r="C13" t="s">
        <v>21</v>
      </c>
      <c r="D13" s="3">
        <v>1800</v>
      </c>
      <c r="E13" t="s">
        <v>9</v>
      </c>
      <c r="F13" t="s">
        <v>10</v>
      </c>
    </row>
    <row r="14" spans="1:9" x14ac:dyDescent="0.3">
      <c r="A14" t="s">
        <v>27</v>
      </c>
      <c r="B14" t="s">
        <v>16</v>
      </c>
      <c r="C14" t="s">
        <v>28</v>
      </c>
      <c r="D14" s="3">
        <v>1800</v>
      </c>
      <c r="E14" t="s">
        <v>18</v>
      </c>
      <c r="F14" t="s">
        <v>24</v>
      </c>
    </row>
    <row r="15" spans="1:9" x14ac:dyDescent="0.3">
      <c r="A15" t="s">
        <v>76</v>
      </c>
      <c r="B15" t="s">
        <v>20</v>
      </c>
      <c r="C15" t="s">
        <v>21</v>
      </c>
      <c r="D15" s="3">
        <v>1750</v>
      </c>
      <c r="E15" t="s">
        <v>9</v>
      </c>
      <c r="F15" t="s">
        <v>77</v>
      </c>
    </row>
    <row r="16" spans="1:9" x14ac:dyDescent="0.3">
      <c r="A16" t="s">
        <v>37</v>
      </c>
      <c r="B16" t="s">
        <v>7</v>
      </c>
      <c r="C16" t="s">
        <v>38</v>
      </c>
      <c r="D16" s="3">
        <v>1600</v>
      </c>
      <c r="E16" t="s">
        <v>9</v>
      </c>
      <c r="F16" t="s">
        <v>34</v>
      </c>
    </row>
    <row r="17" spans="1:6" x14ac:dyDescent="0.3">
      <c r="A17" t="s">
        <v>72</v>
      </c>
      <c r="B17" t="s">
        <v>16</v>
      </c>
      <c r="C17" t="s">
        <v>73</v>
      </c>
      <c r="D17" s="3">
        <v>1600</v>
      </c>
      <c r="E17" t="s">
        <v>18</v>
      </c>
      <c r="F17" t="s">
        <v>69</v>
      </c>
    </row>
    <row r="18" spans="1:6" x14ac:dyDescent="0.3">
      <c r="A18" t="s">
        <v>50</v>
      </c>
      <c r="B18" t="s">
        <v>16</v>
      </c>
      <c r="C18" t="s">
        <v>51</v>
      </c>
      <c r="D18" s="3">
        <v>1500</v>
      </c>
      <c r="E18" t="s">
        <v>18</v>
      </c>
      <c r="F18" t="s">
        <v>52</v>
      </c>
    </row>
    <row r="19" spans="1:6" x14ac:dyDescent="0.3">
      <c r="A19" t="s">
        <v>35</v>
      </c>
      <c r="B19" t="s">
        <v>12</v>
      </c>
      <c r="C19" t="s">
        <v>36</v>
      </c>
      <c r="D19" s="3">
        <v>1450</v>
      </c>
      <c r="E19" t="s">
        <v>18</v>
      </c>
      <c r="F19" t="s">
        <v>34</v>
      </c>
    </row>
    <row r="20" spans="1:6" x14ac:dyDescent="0.3">
      <c r="A20" t="s">
        <v>66</v>
      </c>
      <c r="B20" t="s">
        <v>20</v>
      </c>
      <c r="C20" t="s">
        <v>67</v>
      </c>
      <c r="D20" s="3">
        <v>1300</v>
      </c>
      <c r="E20" t="s">
        <v>14</v>
      </c>
      <c r="F20" t="s">
        <v>61</v>
      </c>
    </row>
    <row r="21" spans="1:6" x14ac:dyDescent="0.3">
      <c r="A21" t="s">
        <v>78</v>
      </c>
      <c r="B21" t="s">
        <v>12</v>
      </c>
      <c r="C21" t="s">
        <v>36</v>
      </c>
      <c r="D21" s="3">
        <v>1250</v>
      </c>
      <c r="E21" t="s">
        <v>18</v>
      </c>
      <c r="F21" t="s">
        <v>77</v>
      </c>
    </row>
    <row r="22" spans="1:6" x14ac:dyDescent="0.3">
      <c r="A22" t="s">
        <v>6</v>
      </c>
      <c r="B22" t="s">
        <v>7</v>
      </c>
      <c r="C22" t="s">
        <v>8</v>
      </c>
      <c r="D22" s="3">
        <v>1200</v>
      </c>
      <c r="E22" t="s">
        <v>9</v>
      </c>
      <c r="F22" t="s">
        <v>10</v>
      </c>
    </row>
    <row r="23" spans="1:6" x14ac:dyDescent="0.3">
      <c r="A23" t="s">
        <v>59</v>
      </c>
      <c r="B23" t="s">
        <v>7</v>
      </c>
      <c r="C23" t="s">
        <v>60</v>
      </c>
      <c r="D23" s="3">
        <v>1100</v>
      </c>
      <c r="E23" t="s">
        <v>9</v>
      </c>
      <c r="F23" t="s">
        <v>61</v>
      </c>
    </row>
    <row r="24" spans="1:6" x14ac:dyDescent="0.3">
      <c r="A24" t="s">
        <v>44</v>
      </c>
      <c r="B24" t="s">
        <v>20</v>
      </c>
      <c r="C24" t="s">
        <v>45</v>
      </c>
      <c r="D24" s="3">
        <v>950</v>
      </c>
      <c r="E24" t="s">
        <v>14</v>
      </c>
      <c r="F24" t="s">
        <v>43</v>
      </c>
    </row>
    <row r="25" spans="1:6" x14ac:dyDescent="0.3">
      <c r="A25" t="s">
        <v>70</v>
      </c>
      <c r="B25" t="s">
        <v>7</v>
      </c>
      <c r="C25" t="s">
        <v>71</v>
      </c>
      <c r="D25" s="3">
        <v>900</v>
      </c>
      <c r="E25" t="s">
        <v>9</v>
      </c>
      <c r="F25" t="s">
        <v>69</v>
      </c>
    </row>
    <row r="26" spans="1:6" x14ac:dyDescent="0.3">
      <c r="A26" t="s">
        <v>11</v>
      </c>
      <c r="B26" t="s">
        <v>12</v>
      </c>
      <c r="C26" t="s">
        <v>13</v>
      </c>
      <c r="D26" s="3">
        <v>850</v>
      </c>
      <c r="E26" t="s">
        <v>14</v>
      </c>
      <c r="F26" t="s">
        <v>10</v>
      </c>
    </row>
    <row r="27" spans="1:6" x14ac:dyDescent="0.3">
      <c r="A27" t="s">
        <v>25</v>
      </c>
      <c r="B27" t="s">
        <v>7</v>
      </c>
      <c r="C27" t="s">
        <v>26</v>
      </c>
      <c r="D27" s="3">
        <v>750</v>
      </c>
      <c r="E27" t="s">
        <v>9</v>
      </c>
      <c r="F27" t="s">
        <v>24</v>
      </c>
    </row>
    <row r="28" spans="1:6" x14ac:dyDescent="0.3">
      <c r="A28" t="s">
        <v>46</v>
      </c>
      <c r="B28" t="s">
        <v>12</v>
      </c>
      <c r="C28" t="s">
        <v>47</v>
      </c>
      <c r="D28" s="3">
        <v>700</v>
      </c>
      <c r="E28" t="s">
        <v>9</v>
      </c>
      <c r="F28" t="s">
        <v>43</v>
      </c>
    </row>
    <row r="29" spans="1:6" x14ac:dyDescent="0.3">
      <c r="A29" t="s">
        <v>48</v>
      </c>
      <c r="B29" t="s">
        <v>7</v>
      </c>
      <c r="C29" t="s">
        <v>49</v>
      </c>
      <c r="D29" s="3">
        <v>600</v>
      </c>
      <c r="E29" t="s">
        <v>14</v>
      </c>
      <c r="F29" t="s">
        <v>43</v>
      </c>
    </row>
    <row r="30" spans="1:6" x14ac:dyDescent="0.3">
      <c r="A30" t="s">
        <v>68</v>
      </c>
      <c r="B30" t="s">
        <v>12</v>
      </c>
      <c r="C30" t="s">
        <v>23</v>
      </c>
      <c r="D30" s="3">
        <v>500</v>
      </c>
      <c r="E30" t="s">
        <v>14</v>
      </c>
      <c r="F30" t="s">
        <v>69</v>
      </c>
    </row>
    <row r="31" spans="1:6" x14ac:dyDescent="0.3">
      <c r="A31" t="s">
        <v>22</v>
      </c>
      <c r="B31" t="s">
        <v>12</v>
      </c>
      <c r="C31" t="s">
        <v>23</v>
      </c>
      <c r="D31" s="3">
        <v>450</v>
      </c>
      <c r="E31" t="s">
        <v>14</v>
      </c>
      <c r="F31" t="s">
        <v>24</v>
      </c>
    </row>
  </sheetData>
  <sortState xmlns:xlrd2="http://schemas.microsoft.com/office/spreadsheetml/2017/richdata2" ref="A2:F31">
    <sortCondition descending="1" ref="D2:D31"/>
  </sortState>
  <conditionalFormatting sqref="D2:D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Chandushree C</dc:creator>
  <cp:lastModifiedBy>Chandushree C</cp:lastModifiedBy>
  <dcterms:created xsi:type="dcterms:W3CDTF">2015-06-05T18:17:20Z</dcterms:created>
  <dcterms:modified xsi:type="dcterms:W3CDTF">2026-09-22T04:34:14Z</dcterms:modified>
</cp:coreProperties>
</file>