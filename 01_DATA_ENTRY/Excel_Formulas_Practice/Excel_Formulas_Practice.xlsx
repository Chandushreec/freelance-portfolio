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d1269370f6084a/Documents/"/>
    </mc:Choice>
  </mc:AlternateContent>
  <xr:revisionPtr revIDLastSave="12" documentId="8_{A4CCC9E2-9F3F-4BDC-99B2-2C8355949E36}" xr6:coauthVersionLast="47" xr6:coauthVersionMax="47" xr10:uidLastSave="{0CB3E01B-D983-45F1-88E3-12F4C739EC01}"/>
  <bookViews>
    <workbookView xWindow="-96" yWindow="0" windowWidth="11712" windowHeight="12336" xr2:uid="{67ABD048-CC71-4903-9DA4-DEFC0D1E6FE8}"/>
  </bookViews>
  <sheets>
    <sheet name="Students Marks" sheetId="1" r:id="rId1"/>
  </sheets>
  <definedNames>
    <definedName name="_xlnm._FilterDatabase" localSheetId="0" hidden="1">'Students Marks'!$A$1:$E$51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E40" i="1"/>
  <c r="E15" i="1"/>
  <c r="E46" i="1"/>
  <c r="E6" i="1"/>
  <c r="E33" i="1"/>
  <c r="E50" i="1"/>
  <c r="E20" i="1"/>
  <c r="E37" i="1"/>
  <c r="E8" i="1"/>
  <c r="E24" i="1"/>
  <c r="E43" i="1"/>
  <c r="E17" i="1"/>
  <c r="E34" i="1"/>
  <c r="E3" i="1"/>
  <c r="E29" i="1"/>
  <c r="E47" i="1"/>
  <c r="E13" i="1"/>
  <c r="E39" i="1"/>
  <c r="E19" i="1"/>
  <c r="E31" i="1"/>
  <c r="E5" i="1"/>
  <c r="E42" i="1"/>
  <c r="E22" i="1"/>
  <c r="E51" i="1"/>
  <c r="E9" i="1"/>
  <c r="E26" i="1"/>
  <c r="E44" i="1"/>
  <c r="E14" i="1"/>
  <c r="E32" i="1"/>
  <c r="E41" i="1"/>
  <c r="E21" i="1"/>
  <c r="E30" i="1"/>
  <c r="E48" i="1"/>
  <c r="E11" i="1"/>
  <c r="E36" i="1"/>
  <c r="E16" i="1"/>
  <c r="E27" i="1"/>
  <c r="E49" i="1"/>
  <c r="E7" i="1"/>
  <c r="E23" i="1"/>
  <c r="E35" i="1"/>
  <c r="E18" i="1"/>
  <c r="E45" i="1"/>
  <c r="E12" i="1"/>
  <c r="E38" i="1"/>
  <c r="E25" i="1"/>
  <c r="E4" i="1"/>
  <c r="E10" i="1"/>
  <c r="G5" i="1"/>
  <c r="E2" i="1"/>
  <c r="G2" i="1"/>
  <c r="G14" i="1"/>
  <c r="G11" i="1"/>
  <c r="G8" i="1"/>
  <c r="G17" i="1"/>
</calcChain>
</file>

<file path=xl/sharedStrings.xml><?xml version="1.0" encoding="utf-8"?>
<sst xmlns="http://schemas.openxmlformats.org/spreadsheetml/2006/main" count="161" uniqueCount="116">
  <si>
    <t>Student Name</t>
  </si>
  <si>
    <t>Subject</t>
  </si>
  <si>
    <t>Marks</t>
  </si>
  <si>
    <t>Result</t>
  </si>
  <si>
    <t>Student ID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</si>
  <si>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</si>
  <si>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</si>
  <si>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</si>
  <si>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</si>
  <si>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</si>
  <si>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</si>
  <si>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</si>
  <si>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</si>
  <si>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</si>
  <si>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</si>
  <si>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</si>
  <si>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</si>
  <si>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</si>
  <si>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</si>
  <si>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</si>
  <si>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</si>
  <si>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</si>
  <si>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</si>
  <si>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</si>
  <si>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</si>
  <si>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</si>
  <si>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</si>
  <si>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</si>
  <si>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</si>
  <si>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</si>
  <si>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</si>
  <si>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</si>
  <si>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</si>
  <si>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</si>
  <si>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</si>
  <si>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</si>
  <si>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</si>
  <si>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</si>
  <si>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</si>
  <si>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</si>
  <si>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</si>
  <si>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</si>
  <si>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</si>
  <si>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</si>
  <si>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</si>
  <si>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</si>
  <si>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</si>
  <si>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</si>
  <si>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</si>
  <si>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</si>
  <si>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</si>
  <si>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</si>
  <si>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</si>
  <si>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</si>
  <si>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</si>
  <si>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Anu</t>
  </si>
  <si>
    <t>Ravi</t>
  </si>
  <si>
    <t>Sneha</t>
  </si>
  <si>
    <t>Kiran</t>
  </si>
  <si>
    <t>Priya</t>
  </si>
  <si>
    <t>Arun</t>
  </si>
  <si>
    <t>Meena</t>
  </si>
  <si>
    <t>Rahul</t>
  </si>
  <si>
    <t>Divya</t>
  </si>
  <si>
    <t>Vijay</t>
  </si>
  <si>
    <t>Kavya</t>
  </si>
  <si>
    <t>Manoj</t>
  </si>
  <si>
    <t>Pooja</t>
  </si>
  <si>
    <t>Suresh</t>
  </si>
  <si>
    <t>Deepa</t>
  </si>
  <si>
    <t>Naveen</t>
  </si>
  <si>
    <t>Asha</t>
  </si>
  <si>
    <t>Rohan</t>
  </si>
  <si>
    <t>Swathi</t>
  </si>
  <si>
    <t>Mahesh</t>
  </si>
  <si>
    <t>Neha</t>
  </si>
  <si>
    <t>Akash</t>
  </si>
  <si>
    <t>Aishwarya</t>
  </si>
  <si>
    <t>Harish</t>
  </si>
  <si>
    <t>Lakshmi</t>
  </si>
  <si>
    <t>Sanjay</t>
  </si>
  <si>
    <t>Geetha</t>
  </si>
  <si>
    <t>Varun</t>
  </si>
  <si>
    <t>Nisha</t>
  </si>
  <si>
    <t>Praksh</t>
  </si>
  <si>
    <t>Chandru</t>
  </si>
  <si>
    <t>Shruthi</t>
  </si>
  <si>
    <t>Karthik</t>
  </si>
  <si>
    <t>Ramesh</t>
  </si>
  <si>
    <t>Pavithra</t>
  </si>
  <si>
    <t>Manjunath</t>
  </si>
  <si>
    <t>Rakesh</t>
  </si>
  <si>
    <t>Shilpa</t>
  </si>
  <si>
    <t>Abhishek</t>
  </si>
  <si>
    <t>Keerthi</t>
  </si>
  <si>
    <t>Rajesh</t>
  </si>
  <si>
    <t>Preethi</t>
  </si>
  <si>
    <t>Mohan</t>
  </si>
  <si>
    <t>Sindu</t>
  </si>
  <si>
    <t>Girish</t>
  </si>
  <si>
    <t>Anjali</t>
  </si>
  <si>
    <t>Suraj</t>
  </si>
  <si>
    <t>Reshma</t>
  </si>
  <si>
    <t>Bhavana</t>
  </si>
  <si>
    <t>Tejas</t>
  </si>
  <si>
    <t>Physics</t>
  </si>
  <si>
    <t>Mathematics</t>
  </si>
  <si>
    <t>Chemistry</t>
  </si>
  <si>
    <t>English</t>
  </si>
  <si>
    <t>Computer Science</t>
  </si>
  <si>
    <t>Pass students</t>
  </si>
  <si>
    <t>Failed Students</t>
  </si>
  <si>
    <t>Average Marks</t>
  </si>
  <si>
    <t>Total Marks</t>
  </si>
  <si>
    <t>Highest Marks</t>
  </si>
  <si>
    <t>Lowest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</si>
</sst>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33C14-4C02-4161-8C61-E72A7A99FAF1}">
  <dimension ref="A1:G51"/>
  <sheetViews>
    <sheetView tabSelected="1" topLeftCell="B1" zoomScale="52" workbookViewId="0">
      <selection activeCell="R21" sqref="R21"/>
    </sheetView>
  </sheetViews>
  <sheetFormatPr defaultRowHeight="14.4" x14ac:dyDescent="0.3"/>
  <cols>
    <col min="1" max="1" width="14.21875" bestFit="1" customWidth="1"/>
    <col min="2" max="2" width="18.6640625" bestFit="1" customWidth="1"/>
    <col min="3" max="3" width="20" bestFit="1" customWidth="1"/>
    <col min="4" max="4" width="8.6640625" bestFit="1" customWidth="1"/>
    <col min="7" max="7" width="20.6640625" bestFit="1" customWidth="1"/>
  </cols>
  <sheetData>
    <row r="1" spans="1:7" x14ac:dyDescent="0.3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  <c r="G1" s="1" t="s">
        <v>110</v>
      </c>
    </row>
    <row r="2" spans="1:7" x14ac:dyDescent="0.3">
      <c r="A2" t="s">
        <v>36</v>
      </c>
      <c r="B2" t="s">
        <v>86</v>
      </c>
      <c r="C2" t="s">
        <v>106</v>
      </c>
      <c r="D2">
        <v>96</v>
      </c>
      <c r="E2" t="str">
        <f>IF(D2&gt;=40,"Pass","Fail")</f>
        <v>Pass</v>
      </c>
      <c r="G2">
        <f>COUNTIF(E2:E51,"Pass")</f>
        <v>41</v>
      </c>
    </row>
    <row r="3" spans="1:7" x14ac:dyDescent="0.3">
      <c r="A3" t="s">
        <v>20</v>
      </c>
      <c r="B3" t="s">
        <v>70</v>
      </c>
      <c r="C3" t="s">
        <v>105</v>
      </c>
      <c r="D3">
        <v>94</v>
      </c>
      <c r="E3" t="str">
        <f>IF(D3&gt;=40,"Pass","Fail")</f>
        <v>Pass</v>
      </c>
    </row>
    <row r="4" spans="1:7" x14ac:dyDescent="0.3">
      <c r="A4" t="s">
        <v>54</v>
      </c>
      <c r="B4" t="s">
        <v>104</v>
      </c>
      <c r="C4" t="s">
        <v>109</v>
      </c>
      <c r="D4">
        <v>93</v>
      </c>
      <c r="E4" t="str">
        <f>IF(D4&gt;=40,"Pass","Fail")</f>
        <v>Pass</v>
      </c>
      <c r="G4" s="1" t="s">
        <v>111</v>
      </c>
    </row>
    <row r="5" spans="1:7" x14ac:dyDescent="0.3">
      <c r="A5" t="s">
        <v>27</v>
      </c>
      <c r="B5" t="s">
        <v>77</v>
      </c>
      <c r="C5" t="s">
        <v>107</v>
      </c>
      <c r="D5">
        <v>92</v>
      </c>
      <c r="E5" t="str">
        <f>IF(D5&gt;=40,"Pass","Fail")</f>
        <v>Pass</v>
      </c>
      <c r="G5">
        <f>COUNTIF(E2:E51,"Fail")</f>
        <v>9</v>
      </c>
    </row>
    <row r="6" spans="1:7" x14ac:dyDescent="0.3">
      <c r="A6" t="s">
        <v>10</v>
      </c>
      <c r="B6" t="s">
        <v>60</v>
      </c>
      <c r="C6" t="s">
        <v>105</v>
      </c>
      <c r="D6">
        <v>91</v>
      </c>
      <c r="E6" t="str">
        <f>IF(D6&gt;=40,"Pass","Fail")</f>
        <v>Pass</v>
      </c>
    </row>
    <row r="7" spans="1:7" x14ac:dyDescent="0.3">
      <c r="A7" t="s">
        <v>46</v>
      </c>
      <c r="B7" t="s">
        <v>96</v>
      </c>
      <c r="C7" t="s">
        <v>106</v>
      </c>
      <c r="D7">
        <v>90</v>
      </c>
      <c r="E7" t="str">
        <f>IF(D7&gt;=40,"Pass","Fail")</f>
        <v>Pass</v>
      </c>
      <c r="G7" s="1" t="s">
        <v>112</v>
      </c>
    </row>
    <row r="8" spans="1:7" x14ac:dyDescent="0.3">
      <c r="A8" t="s">
        <v>15</v>
      </c>
      <c r="B8" t="s">
        <v>65</v>
      </c>
      <c r="C8" t="s">
        <v>105</v>
      </c>
      <c r="D8">
        <v>88</v>
      </c>
      <c r="E8" t="str">
        <f>IF(D8&gt;=40,"Pass","Fail")</f>
        <v>Pass</v>
      </c>
      <c r="G8">
        <f>AVERAGE(D2:D51)</f>
        <v>62.58</v>
      </c>
    </row>
    <row r="9" spans="1:7" x14ac:dyDescent="0.3">
      <c r="A9" t="s">
        <v>31</v>
      </c>
      <c r="B9" t="s">
        <v>81</v>
      </c>
      <c r="C9" t="s">
        <v>106</v>
      </c>
      <c r="D9">
        <v>87</v>
      </c>
      <c r="E9" t="str">
        <f>IF(D9&gt;=40,"Pass","Fail")</f>
        <v>Pass</v>
      </c>
    </row>
    <row r="10" spans="1:7" x14ac:dyDescent="0.3">
      <c r="A10" t="s">
        <v>5</v>
      </c>
      <c r="B10" t="s">
        <v>55</v>
      </c>
      <c r="C10" t="s">
        <v>105</v>
      </c>
      <c r="D10">
        <v>85</v>
      </c>
      <c r="E10" t="str">
        <f>IF(D10&gt;=40,"Pass","Fail")</f>
        <v>Pass</v>
      </c>
      <c r="G10" s="1" t="s">
        <v>113</v>
      </c>
    </row>
    <row r="11" spans="1:7" x14ac:dyDescent="0.3">
      <c r="A11" t="s">
        <v>41</v>
      </c>
      <c r="B11" t="s">
        <v>91</v>
      </c>
      <c r="C11" t="s">
        <v>106</v>
      </c>
      <c r="D11">
        <v>84</v>
      </c>
      <c r="E11" t="str">
        <f>IF(D11&gt;=40,"Pass","Fail")</f>
        <v>Pass</v>
      </c>
      <c r="G11">
        <f>SUM(D2:D51)</f>
        <v>3129</v>
      </c>
    </row>
    <row r="12" spans="1:7" x14ac:dyDescent="0.3">
      <c r="A12" t="s">
        <v>51</v>
      </c>
      <c r="B12" t="s">
        <v>101</v>
      </c>
      <c r="C12" t="s">
        <v>106</v>
      </c>
      <c r="D12">
        <v>82</v>
      </c>
      <c r="E12" t="str">
        <f>IF(D12&gt;=40,"Pass","Fail")</f>
        <v>Pass</v>
      </c>
    </row>
    <row r="13" spans="1:7" x14ac:dyDescent="0.3">
      <c r="A13" t="s">
        <v>23</v>
      </c>
      <c r="B13" t="s">
        <v>73</v>
      </c>
      <c r="C13" t="s">
        <v>108</v>
      </c>
      <c r="D13">
        <v>81</v>
      </c>
      <c r="E13" t="str">
        <f>IF(D13&gt;=40,"Pass","Fail")</f>
        <v>Pass</v>
      </c>
      <c r="G13" s="1" t="s">
        <v>114</v>
      </c>
    </row>
    <row r="14" spans="1:7" x14ac:dyDescent="0.3">
      <c r="A14" t="s">
        <v>34</v>
      </c>
      <c r="B14" t="s">
        <v>84</v>
      </c>
      <c r="C14" t="s">
        <v>109</v>
      </c>
      <c r="D14">
        <v>79</v>
      </c>
      <c r="E14" t="str">
        <f>IF(D14&gt;=40,"Pass","Fail")</f>
        <v>Pass</v>
      </c>
      <c r="G14">
        <f>MAX(D2:D51)</f>
        <v>96</v>
      </c>
    </row>
    <row r="15" spans="1:7" x14ac:dyDescent="0.3">
      <c r="A15" t="s">
        <v>8</v>
      </c>
      <c r="B15" t="s">
        <v>58</v>
      </c>
      <c r="C15" t="s">
        <v>108</v>
      </c>
      <c r="D15">
        <v>78</v>
      </c>
      <c r="E15" t="str">
        <f>IF(D15&gt;=40,"Pass","Fail")</f>
        <v>Pass</v>
      </c>
    </row>
    <row r="16" spans="1:7" x14ac:dyDescent="0.3">
      <c r="A16" t="s">
        <v>43</v>
      </c>
      <c r="B16" t="s">
        <v>93</v>
      </c>
      <c r="C16" t="s">
        <v>108</v>
      </c>
      <c r="D16">
        <v>77</v>
      </c>
      <c r="E16" t="str">
        <f>IF(D16&gt;=40,"Pass","Fail")</f>
        <v>Pass</v>
      </c>
      <c r="G16" s="1" t="s">
        <v>115</v>
      </c>
    </row>
    <row r="17" spans="1:7" x14ac:dyDescent="0.3">
      <c r="A17" t="s">
        <v>18</v>
      </c>
      <c r="B17" t="s">
        <v>68</v>
      </c>
      <c r="C17" t="s">
        <v>108</v>
      </c>
      <c r="D17">
        <v>76</v>
      </c>
      <c r="E17" t="str">
        <f>IF(D17&gt;=40,"Pass","Fail")</f>
        <v>Pass</v>
      </c>
      <c r="G17">
        <f>MIN(D2:D51)</f>
        <v>25</v>
      </c>
    </row>
    <row r="18" spans="1:7" x14ac:dyDescent="0.3">
      <c r="A18" t="s">
        <v>49</v>
      </c>
      <c r="B18" t="s">
        <v>99</v>
      </c>
      <c r="C18" t="s">
        <v>109</v>
      </c>
      <c r="D18">
        <v>74</v>
      </c>
      <c r="E18" t="str">
        <f>IF(D18&gt;=40,"Pass","Fail")</f>
        <v>Pass</v>
      </c>
    </row>
    <row r="19" spans="1:7" x14ac:dyDescent="0.3">
      <c r="A19" t="s">
        <v>25</v>
      </c>
      <c r="B19" t="s">
        <v>75</v>
      </c>
      <c r="C19" t="s">
        <v>105</v>
      </c>
      <c r="D19">
        <v>73</v>
      </c>
      <c r="E19" t="str">
        <f>IF(D19&gt;=40,"Pass","Fail")</f>
        <v>Pass</v>
      </c>
    </row>
    <row r="20" spans="1:7" x14ac:dyDescent="0.3">
      <c r="A20" t="s">
        <v>13</v>
      </c>
      <c r="B20" t="s">
        <v>63</v>
      </c>
      <c r="C20" t="s">
        <v>108</v>
      </c>
      <c r="D20">
        <v>72</v>
      </c>
      <c r="E20" t="str">
        <f>IF(D20&gt;=40,"Pass","Fail")</f>
        <v>Pass</v>
      </c>
    </row>
    <row r="21" spans="1:7" x14ac:dyDescent="0.3">
      <c r="A21" t="s">
        <v>38</v>
      </c>
      <c r="B21" t="s">
        <v>88</v>
      </c>
      <c r="C21" t="s">
        <v>108</v>
      </c>
      <c r="D21">
        <v>71</v>
      </c>
      <c r="E21" t="str">
        <f>IF(D21&gt;=40,"Pass","Fail")</f>
        <v>Pass</v>
      </c>
    </row>
    <row r="22" spans="1:7" x14ac:dyDescent="0.3">
      <c r="A22" t="s">
        <v>29</v>
      </c>
      <c r="B22" t="s">
        <v>79</v>
      </c>
      <c r="C22" t="s">
        <v>109</v>
      </c>
      <c r="D22">
        <v>69</v>
      </c>
      <c r="E22" t="str">
        <f>IF(D22&gt;=40,"Pass","Fail")</f>
        <v>Pass</v>
      </c>
    </row>
    <row r="23" spans="1:7" x14ac:dyDescent="0.3">
      <c r="A23" t="s">
        <v>47</v>
      </c>
      <c r="B23" t="s">
        <v>97</v>
      </c>
      <c r="C23" t="s">
        <v>107</v>
      </c>
      <c r="D23">
        <v>68</v>
      </c>
      <c r="E23" t="str">
        <f>IF(D23&gt;=40,"Pass","Fail")</f>
        <v>Pass</v>
      </c>
    </row>
    <row r="24" spans="1:7" x14ac:dyDescent="0.3">
      <c r="A24" t="s">
        <v>16</v>
      </c>
      <c r="B24" t="s">
        <v>66</v>
      </c>
      <c r="C24" t="s">
        <v>106</v>
      </c>
      <c r="D24">
        <v>67</v>
      </c>
      <c r="E24" t="str">
        <f>IF(D24&gt;=40,"Pass","Fail")</f>
        <v>Pass</v>
      </c>
    </row>
    <row r="25" spans="1:7" x14ac:dyDescent="0.3">
      <c r="A25" t="s">
        <v>53</v>
      </c>
      <c r="B25" t="s">
        <v>103</v>
      </c>
      <c r="C25" t="s">
        <v>108</v>
      </c>
      <c r="D25">
        <v>65</v>
      </c>
      <c r="E25" t="str">
        <f>IF(D25&gt;=40,"Pass","Fail")</f>
        <v>Pass</v>
      </c>
    </row>
    <row r="26" spans="1:7" x14ac:dyDescent="0.3">
      <c r="A26" t="s">
        <v>32</v>
      </c>
      <c r="B26" t="s">
        <v>82</v>
      </c>
      <c r="C26" t="s">
        <v>107</v>
      </c>
      <c r="D26">
        <v>64</v>
      </c>
      <c r="E26" t="str">
        <f>IF(D26&gt;=40,"Pass","Fail")</f>
        <v>Pass</v>
      </c>
    </row>
    <row r="27" spans="1:7" x14ac:dyDescent="0.3">
      <c r="A27" t="s">
        <v>44</v>
      </c>
      <c r="B27" t="s">
        <v>94</v>
      </c>
      <c r="C27" t="s">
        <v>109</v>
      </c>
      <c r="D27">
        <v>63</v>
      </c>
      <c r="E27" t="str">
        <f>IF(D27&gt;=40,"Pass","Fail")</f>
        <v>Pass</v>
      </c>
    </row>
    <row r="28" spans="1:7" x14ac:dyDescent="0.3">
      <c r="A28" t="s">
        <v>6</v>
      </c>
      <c r="B28" t="s">
        <v>56</v>
      </c>
      <c r="C28" t="s">
        <v>106</v>
      </c>
      <c r="D28">
        <v>62</v>
      </c>
      <c r="E28" t="str">
        <f>IF(D28&gt;=40,"Pass","Fail")</f>
        <v>Pass</v>
      </c>
    </row>
    <row r="29" spans="1:7" x14ac:dyDescent="0.3">
      <c r="A29" t="s">
        <v>21</v>
      </c>
      <c r="B29" t="s">
        <v>71</v>
      </c>
      <c r="C29" t="s">
        <v>106</v>
      </c>
      <c r="D29">
        <v>61</v>
      </c>
      <c r="E29" t="str">
        <f>IF(D29&gt;=40,"Pass","Fail")</f>
        <v>Pass</v>
      </c>
    </row>
    <row r="30" spans="1:7" x14ac:dyDescent="0.3">
      <c r="A30" t="s">
        <v>39</v>
      </c>
      <c r="B30" t="s">
        <v>89</v>
      </c>
      <c r="C30" t="s">
        <v>109</v>
      </c>
      <c r="D30">
        <v>59</v>
      </c>
      <c r="E30" t="str">
        <f>IF(D30&gt;=40,"Pass","Fail")</f>
        <v>Pass</v>
      </c>
    </row>
    <row r="31" spans="1:7" x14ac:dyDescent="0.3">
      <c r="A31" t="s">
        <v>26</v>
      </c>
      <c r="B31" t="s">
        <v>76</v>
      </c>
      <c r="C31" t="s">
        <v>106</v>
      </c>
      <c r="D31">
        <v>58</v>
      </c>
      <c r="E31" t="str">
        <f>IF(D31&gt;=40,"Pass","Fail")</f>
        <v>Pass</v>
      </c>
    </row>
    <row r="32" spans="1:7" x14ac:dyDescent="0.3">
      <c r="A32" t="s">
        <v>35</v>
      </c>
      <c r="B32" t="s">
        <v>85</v>
      </c>
      <c r="C32" t="s">
        <v>105</v>
      </c>
      <c r="D32">
        <v>56</v>
      </c>
      <c r="E32" t="str">
        <f>IF(D32&gt;=40,"Pass","Fail")</f>
        <v>Pass</v>
      </c>
    </row>
    <row r="33" spans="1:5" x14ac:dyDescent="0.3">
      <c r="A33" t="s">
        <v>11</v>
      </c>
      <c r="B33" t="s">
        <v>61</v>
      </c>
      <c r="C33" t="s">
        <v>106</v>
      </c>
      <c r="D33">
        <v>55</v>
      </c>
      <c r="E33" t="str">
        <f>IF(D33&gt;=40,"Pass","Fail")</f>
        <v>Pass</v>
      </c>
    </row>
    <row r="34" spans="1:5" x14ac:dyDescent="0.3">
      <c r="A34" t="s">
        <v>19</v>
      </c>
      <c r="B34" t="s">
        <v>69</v>
      </c>
      <c r="C34" t="s">
        <v>109</v>
      </c>
      <c r="D34">
        <v>52</v>
      </c>
      <c r="E34" t="str">
        <f>IF(D34&gt;=40,"Pass","Fail")</f>
        <v>Pass</v>
      </c>
    </row>
    <row r="35" spans="1:5" x14ac:dyDescent="0.3">
      <c r="A35" t="s">
        <v>48</v>
      </c>
      <c r="B35" t="s">
        <v>98</v>
      </c>
      <c r="C35" t="s">
        <v>108</v>
      </c>
      <c r="D35">
        <v>51</v>
      </c>
      <c r="E35" t="str">
        <f>IF(D35&gt;=40,"Pass","Fail")</f>
        <v>Pass</v>
      </c>
    </row>
    <row r="36" spans="1:5" x14ac:dyDescent="0.3">
      <c r="A36" t="s">
        <v>42</v>
      </c>
      <c r="B36" t="s">
        <v>92</v>
      </c>
      <c r="C36" t="s">
        <v>107</v>
      </c>
      <c r="D36">
        <v>49</v>
      </c>
      <c r="E36" t="str">
        <f>IF(D36&gt;=40,"Pass","Fail")</f>
        <v>Pass</v>
      </c>
    </row>
    <row r="37" spans="1:5" x14ac:dyDescent="0.3">
      <c r="A37" t="s">
        <v>14</v>
      </c>
      <c r="B37" t="s">
        <v>64</v>
      </c>
      <c r="C37" t="s">
        <v>109</v>
      </c>
      <c r="D37">
        <v>48</v>
      </c>
      <c r="E37" t="str">
        <f>IF(D37&gt;=40,"Pass","Fail")</f>
        <v>Pass</v>
      </c>
    </row>
    <row r="38" spans="1:5" x14ac:dyDescent="0.3">
      <c r="A38" t="s">
        <v>52</v>
      </c>
      <c r="B38" t="s">
        <v>102</v>
      </c>
      <c r="C38" t="s">
        <v>107</v>
      </c>
      <c r="D38">
        <v>47</v>
      </c>
      <c r="E38" t="str">
        <f>IF(D38&gt;=40,"Pass","Fail")</f>
        <v>Pass</v>
      </c>
    </row>
    <row r="39" spans="1:5" x14ac:dyDescent="0.3">
      <c r="A39" t="s">
        <v>24</v>
      </c>
      <c r="B39" t="s">
        <v>74</v>
      </c>
      <c r="C39" t="s">
        <v>109</v>
      </c>
      <c r="D39">
        <v>46</v>
      </c>
      <c r="E39" t="str">
        <f>IF(D39&gt;=40,"Pass","Fail")</f>
        <v>Pass</v>
      </c>
    </row>
    <row r="40" spans="1:5" x14ac:dyDescent="0.3">
      <c r="A40" t="s">
        <v>7</v>
      </c>
      <c r="B40" t="s">
        <v>57</v>
      </c>
      <c r="C40" t="s">
        <v>107</v>
      </c>
      <c r="D40">
        <v>45</v>
      </c>
      <c r="E40" t="str">
        <f>IF(D40&gt;=40,"Pass","Fail")</f>
        <v>Pass</v>
      </c>
    </row>
    <row r="41" spans="1:5" x14ac:dyDescent="0.3">
      <c r="A41" t="s">
        <v>37</v>
      </c>
      <c r="B41" t="s">
        <v>87</v>
      </c>
      <c r="C41" t="s">
        <v>107</v>
      </c>
      <c r="D41">
        <v>44</v>
      </c>
      <c r="E41" t="str">
        <f>IF(D41&gt;=40,"Pass","Fail")</f>
        <v>Pass</v>
      </c>
    </row>
    <row r="42" spans="1:5" x14ac:dyDescent="0.3">
      <c r="A42" t="s">
        <v>28</v>
      </c>
      <c r="B42" t="s">
        <v>78</v>
      </c>
      <c r="C42" t="s">
        <v>108</v>
      </c>
      <c r="D42">
        <v>41</v>
      </c>
      <c r="E42" t="str">
        <f>IF(D42&gt;=40,"Pass","Fail")</f>
        <v>Pass</v>
      </c>
    </row>
    <row r="43" spans="1:5" x14ac:dyDescent="0.3">
      <c r="A43" t="s">
        <v>17</v>
      </c>
      <c r="B43" t="s">
        <v>67</v>
      </c>
      <c r="C43" t="s">
        <v>107</v>
      </c>
      <c r="D43">
        <v>39</v>
      </c>
      <c r="E43" t="str">
        <f>IF(D43&gt;=40,"Pass","Fail")</f>
        <v>Fail</v>
      </c>
    </row>
    <row r="44" spans="1:5" x14ac:dyDescent="0.3">
      <c r="A44" t="s">
        <v>33</v>
      </c>
      <c r="B44" t="s">
        <v>83</v>
      </c>
      <c r="C44" t="s">
        <v>108</v>
      </c>
      <c r="D44">
        <v>38</v>
      </c>
      <c r="E44" t="str">
        <f>IF(D44&gt;=40,"Pass","Fail")</f>
        <v>Fail</v>
      </c>
    </row>
    <row r="45" spans="1:5" x14ac:dyDescent="0.3">
      <c r="A45" t="s">
        <v>50</v>
      </c>
      <c r="B45" t="s">
        <v>100</v>
      </c>
      <c r="C45" t="s">
        <v>105</v>
      </c>
      <c r="D45">
        <v>37</v>
      </c>
      <c r="E45" t="str">
        <f>IF(D45&gt;=40,"Pass","Fail")</f>
        <v>Fail</v>
      </c>
    </row>
    <row r="46" spans="1:5" x14ac:dyDescent="0.3">
      <c r="A46" t="s">
        <v>9</v>
      </c>
      <c r="B46" t="s">
        <v>59</v>
      </c>
      <c r="C46" t="s">
        <v>109</v>
      </c>
      <c r="D46">
        <v>35</v>
      </c>
      <c r="E46" t="str">
        <f>IF(D46&gt;=40,"Pass","Fail")</f>
        <v>Fail</v>
      </c>
    </row>
    <row r="47" spans="1:5" x14ac:dyDescent="0.3">
      <c r="A47" t="s">
        <v>22</v>
      </c>
      <c r="B47" t="s">
        <v>72</v>
      </c>
      <c r="C47" t="s">
        <v>107</v>
      </c>
      <c r="D47">
        <v>33</v>
      </c>
      <c r="E47" t="str">
        <f>IF(D47&gt;=40,"Pass","Fail")</f>
        <v>Fail</v>
      </c>
    </row>
    <row r="48" spans="1:5" x14ac:dyDescent="0.3">
      <c r="A48" t="s">
        <v>40</v>
      </c>
      <c r="B48" t="s">
        <v>90</v>
      </c>
      <c r="C48" t="s">
        <v>105</v>
      </c>
      <c r="D48">
        <v>32</v>
      </c>
      <c r="E48" t="str">
        <f>IF(D48&gt;=40,"Pass","Fail")</f>
        <v>Fail</v>
      </c>
    </row>
    <row r="49" spans="1:5" x14ac:dyDescent="0.3">
      <c r="A49" t="s">
        <v>45</v>
      </c>
      <c r="B49" t="s">
        <v>95</v>
      </c>
      <c r="C49" t="s">
        <v>105</v>
      </c>
      <c r="D49">
        <v>29</v>
      </c>
      <c r="E49" t="str">
        <f>IF(D49&gt;=40,"Pass","Fail")</f>
        <v>Fail</v>
      </c>
    </row>
    <row r="50" spans="1:5" x14ac:dyDescent="0.3">
      <c r="A50" t="s">
        <v>12</v>
      </c>
      <c r="B50" t="s">
        <v>62</v>
      </c>
      <c r="C50" t="s">
        <v>107</v>
      </c>
      <c r="D50">
        <v>28</v>
      </c>
      <c r="E50" t="str">
        <f>IF(D50&gt;=40,"Pass","Fail")</f>
        <v>Fail</v>
      </c>
    </row>
    <row r="51" spans="1:5" x14ac:dyDescent="0.3">
      <c r="A51" t="s">
        <v>30</v>
      </c>
      <c r="B51" t="s">
        <v>80</v>
      </c>
      <c r="C51" t="s">
        <v>105</v>
      </c>
      <c r="D51">
        <v>25</v>
      </c>
      <c r="E51" t="str">
        <f>IF(D51&gt;=40,"Pass","Fail")</f>
        <v>Fail</v>
      </c>
    </row>
  </sheetData>
  <sortState xmlns:xlrd2="http://schemas.microsoft.com/office/spreadsheetml/2017/richdata2" ref="A2:E51">
    <sortCondition descending="1" ref="D2:D51"/>
  </sortState>
  <phoneticPr fontId="2" type="noConversion"/>
  <conditionalFormatting sqref="D1">
    <cfRule type="cellIs" dxfId="6" priority="4" operator="lessThan">
      <formula>40</formula>
    </cfRule>
  </conditionalFormatting>
  <conditionalFormatting sqref="D2">
    <cfRule type="cellIs" dxfId="5" priority="3" operator="lessThan">
      <formula>40</formula>
    </cfRule>
    <cfRule type="cellIs" dxfId="4" priority="2" operator="lessThan">
      <formula>40</formula>
    </cfRule>
  </conditionalFormatting>
  <conditionalFormatting sqref="D2:D51">
    <cfRule type="cellIs" dxfId="0" priority="1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Chandushree C</dc:creator>
  <cp:lastModifiedBy>Chandushree C</cp:lastModifiedBy>
  <dcterms:created xsi:type="dcterms:W3CDTF">2026-09-19T06:13:58Z</dcterms:created>
  <dcterms:modified xsi:type="dcterms:W3CDTF">2026-09-19T07:23:10Z</dcterms:modified>
</cp:coreProperties>
</file>