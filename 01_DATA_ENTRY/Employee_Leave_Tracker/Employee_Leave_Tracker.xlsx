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8d1269370f6084a/Desktop/Freelancing/Data Entry/Employee_Leave_Tracker/"/>
    </mc:Choice>
  </mc:AlternateContent>
  <xr:revisionPtr revIDLastSave="1" documentId="11_F25DC773A252ABDACC10488F295D5EFC5BDE58EE" xr6:coauthVersionLast="47" xr6:coauthVersionMax="47" xr10:uidLastSave="{DC5790FA-BF27-4724-9968-5E895B786E1D}"/>
  <bookViews>
    <workbookView xWindow="-96" yWindow="0" windowWidth="14016" windowHeight="12336" xr2:uid="{00000000-000D-0000-FFFF-FFFF00000000}"/>
  </bookViews>
  <sheets>
    <sheet name="Leave Tracker" sheetId="1" r:id="rId1"/>
  </sheets>
  <definedNames>
    <definedName name="_xlnm._FilterDatabase" localSheetId="0" hidden="1">'Leave Tracker'!$A$1:$F$31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/>
  <c r="I2" i="1"/>
</calcChain>
</file>

<file path=xl/sharedStrings.xml><?xml version="1.0" encoding="utf-8"?>
<sst xmlns="http://schemas.openxmlformats.org/spreadsheetml/2006/main" count="160" uniqueCount="80">
  <si>
    <t>Employee ID</t>
  </si>
  <si>
    <t>Employee Name</t>
  </si>
  <si>
    <t>Department</t>
  </si>
  <si>
    <t>Leave Type</t>
  </si>
  <si>
    <t>Leave Days</t>
  </si>
  <si>
    <t>Status</t>
  </si>
  <si>
    <t>E001</t>
  </si>
  <si>
    <t>Rahul Sharma</t>
  </si>
  <si>
    <t>IT</t>
  </si>
  <si>
    <t>Casual Leave</t>
  </si>
  <si>
    <t>Approved</t>
  </si>
  <si>
    <t>E002</t>
  </si>
  <si>
    <t>Priya Rao</t>
  </si>
  <si>
    <t>HR</t>
  </si>
  <si>
    <t>Sick Leave</t>
  </si>
  <si>
    <t>Pending</t>
  </si>
  <si>
    <t>E003</t>
  </si>
  <si>
    <t>Arun Kumar</t>
  </si>
  <si>
    <t>Finance</t>
  </si>
  <si>
    <t>E004</t>
  </si>
  <si>
    <t>Sneha Patil</t>
  </si>
  <si>
    <t>Annual Leave</t>
  </si>
  <si>
    <t>E005</t>
  </si>
  <si>
    <t>Kiran Das</t>
  </si>
  <si>
    <t>Rejected</t>
  </si>
  <si>
    <t>E006</t>
  </si>
  <si>
    <t>Anita Singh</t>
  </si>
  <si>
    <t>E007</t>
  </si>
  <si>
    <t>Vijay Kumar</t>
  </si>
  <si>
    <t>Sales</t>
  </si>
  <si>
    <t>E008</t>
  </si>
  <si>
    <t>Meena Joshi</t>
  </si>
  <si>
    <t>E009</t>
  </si>
  <si>
    <t>Ravi Shetty</t>
  </si>
  <si>
    <t>E010</t>
  </si>
  <si>
    <t>Divya Rao</t>
  </si>
  <si>
    <t>E011</t>
  </si>
  <si>
    <t>Anil Kumar</t>
  </si>
  <si>
    <t>E012</t>
  </si>
  <si>
    <t>Pooja Nair</t>
  </si>
  <si>
    <t>E013</t>
  </si>
  <si>
    <t>Suresh B</t>
  </si>
  <si>
    <t>E014</t>
  </si>
  <si>
    <t>Kavya R</t>
  </si>
  <si>
    <t>E015</t>
  </si>
  <si>
    <t>Manoj Rao</t>
  </si>
  <si>
    <t>E016</t>
  </si>
  <si>
    <t>Geetha M</t>
  </si>
  <si>
    <t>E017</t>
  </si>
  <si>
    <t>Naveen Kumar</t>
  </si>
  <si>
    <t>E018</t>
  </si>
  <si>
    <t>Swathi R</t>
  </si>
  <si>
    <t>E019</t>
  </si>
  <si>
    <t>Rohan Das</t>
  </si>
  <si>
    <t>E020</t>
  </si>
  <si>
    <t>Deepa S</t>
  </si>
  <si>
    <t>E021</t>
  </si>
  <si>
    <t>Harish K</t>
  </si>
  <si>
    <t>E022</t>
  </si>
  <si>
    <t>Asha R</t>
  </si>
  <si>
    <t>E023</t>
  </si>
  <si>
    <t>Mahesh P</t>
  </si>
  <si>
    <t>E024</t>
  </si>
  <si>
    <t>Lakshmi V</t>
  </si>
  <si>
    <t>E025</t>
  </si>
  <si>
    <t>Sanjay M</t>
  </si>
  <si>
    <t>E026</t>
  </si>
  <si>
    <t>Nisha R</t>
  </si>
  <si>
    <t>E027</t>
  </si>
  <si>
    <t>Varun S</t>
  </si>
  <si>
    <t>E028</t>
  </si>
  <si>
    <t>Pavithra K</t>
  </si>
  <si>
    <t>E029</t>
  </si>
  <si>
    <t>Rakesh T</t>
  </si>
  <si>
    <t>E030</t>
  </si>
  <si>
    <t>Shilpa N</t>
  </si>
  <si>
    <t>Total Leave Days</t>
  </si>
  <si>
    <t>Approved Requests</t>
  </si>
  <si>
    <t>Pending Requests</t>
  </si>
  <si>
    <t>Rejected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</si>
</sst>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2" workbookViewId="0">
      <selection activeCell="G18" sqref="G18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0.77734375" bestFit="1" customWidth="1"/>
    <col min="4" max="4" width="11.77734375" bestFit="1" customWidth="1"/>
    <col min="5" max="5" width="10.109375" bestFit="1" customWidth="1"/>
    <col min="6" max="6" width="8.77734375" bestFit="1" customWidth="1"/>
    <col min="8" max="8" width="16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  <c r="H2" s="1" t="s">
        <v>76</v>
      </c>
      <c r="I2">
        <f>SUM(E2:E31)</f>
        <v>78</v>
      </c>
    </row>
    <row r="3" spans="1:9" x14ac:dyDescent="0.3">
      <c r="A3" t="s">
        <v>11</v>
      </c>
      <c r="B3" t="s">
        <v>12</v>
      </c>
      <c r="C3" t="s">
        <v>13</v>
      </c>
      <c r="D3" t="s">
        <v>14</v>
      </c>
      <c r="E3">
        <v>3</v>
      </c>
      <c r="F3" t="s">
        <v>15</v>
      </c>
      <c r="H3" s="1" t="s">
        <v>77</v>
      </c>
      <c r="I3">
        <f>COUNTIF(F2:F31,"Approved")</f>
        <v>17</v>
      </c>
    </row>
    <row r="4" spans="1:9" x14ac:dyDescent="0.3">
      <c r="A4" t="s">
        <v>16</v>
      </c>
      <c r="B4" t="s">
        <v>17</v>
      </c>
      <c r="C4" t="s">
        <v>18</v>
      </c>
      <c r="D4" t="s">
        <v>9</v>
      </c>
      <c r="E4">
        <v>1</v>
      </c>
      <c r="F4" t="s">
        <v>10</v>
      </c>
      <c r="H4" s="1" t="s">
        <v>78</v>
      </c>
      <c r="I4">
        <f>COUNTIF(F2:F31,"Pending")</f>
        <v>8</v>
      </c>
    </row>
    <row r="5" spans="1:9" x14ac:dyDescent="0.3">
      <c r="A5" t="s">
        <v>19</v>
      </c>
      <c r="B5" t="s">
        <v>20</v>
      </c>
      <c r="C5" t="s">
        <v>8</v>
      </c>
      <c r="D5" t="s">
        <v>21</v>
      </c>
      <c r="E5">
        <v>5</v>
      </c>
      <c r="F5" t="s">
        <v>10</v>
      </c>
      <c r="H5" s="1" t="s">
        <v>79</v>
      </c>
      <c r="I5">
        <f>COUNTIF(F2:F31,"Rejected")</f>
        <v>5</v>
      </c>
    </row>
    <row r="6" spans="1:9" x14ac:dyDescent="0.3">
      <c r="A6" t="s">
        <v>22</v>
      </c>
      <c r="B6" t="s">
        <v>23</v>
      </c>
      <c r="C6" t="s">
        <v>13</v>
      </c>
      <c r="D6" t="s">
        <v>14</v>
      </c>
      <c r="E6">
        <v>2</v>
      </c>
      <c r="F6" t="s">
        <v>24</v>
      </c>
    </row>
    <row r="7" spans="1:9" x14ac:dyDescent="0.3">
      <c r="A7" t="s">
        <v>25</v>
      </c>
      <c r="B7" t="s">
        <v>26</v>
      </c>
      <c r="C7" t="s">
        <v>18</v>
      </c>
      <c r="D7" t="s">
        <v>9</v>
      </c>
      <c r="E7">
        <v>3</v>
      </c>
      <c r="F7" t="s">
        <v>15</v>
      </c>
    </row>
    <row r="8" spans="1:9" x14ac:dyDescent="0.3">
      <c r="A8" t="s">
        <v>27</v>
      </c>
      <c r="B8" t="s">
        <v>28</v>
      </c>
      <c r="C8" t="s">
        <v>29</v>
      </c>
      <c r="D8" t="s">
        <v>21</v>
      </c>
      <c r="E8">
        <v>4</v>
      </c>
      <c r="F8" t="s">
        <v>10</v>
      </c>
    </row>
    <row r="9" spans="1:9" x14ac:dyDescent="0.3">
      <c r="A9" t="s">
        <v>30</v>
      </c>
      <c r="B9" t="s">
        <v>31</v>
      </c>
      <c r="C9" t="s">
        <v>13</v>
      </c>
      <c r="D9" t="s">
        <v>9</v>
      </c>
      <c r="E9">
        <v>2</v>
      </c>
      <c r="F9" t="s">
        <v>10</v>
      </c>
    </row>
    <row r="10" spans="1:9" x14ac:dyDescent="0.3">
      <c r="A10" t="s">
        <v>32</v>
      </c>
      <c r="B10" t="s">
        <v>33</v>
      </c>
      <c r="C10" t="s">
        <v>8</v>
      </c>
      <c r="D10" t="s">
        <v>14</v>
      </c>
      <c r="E10">
        <v>1</v>
      </c>
      <c r="F10" t="s">
        <v>15</v>
      </c>
    </row>
    <row r="11" spans="1:9" x14ac:dyDescent="0.3">
      <c r="A11" t="s">
        <v>34</v>
      </c>
      <c r="B11" t="s">
        <v>35</v>
      </c>
      <c r="C11" t="s">
        <v>18</v>
      </c>
      <c r="D11" t="s">
        <v>21</v>
      </c>
      <c r="E11">
        <v>6</v>
      </c>
      <c r="F11" t="s">
        <v>10</v>
      </c>
    </row>
    <row r="12" spans="1:9" x14ac:dyDescent="0.3">
      <c r="A12" t="s">
        <v>36</v>
      </c>
      <c r="B12" t="s">
        <v>37</v>
      </c>
      <c r="C12" t="s">
        <v>29</v>
      </c>
      <c r="D12" t="s">
        <v>9</v>
      </c>
      <c r="E12">
        <v>2</v>
      </c>
      <c r="F12" t="s">
        <v>24</v>
      </c>
    </row>
    <row r="13" spans="1:9" x14ac:dyDescent="0.3">
      <c r="A13" t="s">
        <v>38</v>
      </c>
      <c r="B13" t="s">
        <v>39</v>
      </c>
      <c r="C13" t="s">
        <v>13</v>
      </c>
      <c r="D13" t="s">
        <v>21</v>
      </c>
      <c r="E13">
        <v>3</v>
      </c>
      <c r="F13" t="s">
        <v>10</v>
      </c>
    </row>
    <row r="14" spans="1:9" x14ac:dyDescent="0.3">
      <c r="A14" t="s">
        <v>40</v>
      </c>
      <c r="B14" t="s">
        <v>41</v>
      </c>
      <c r="C14" t="s">
        <v>8</v>
      </c>
      <c r="D14" t="s">
        <v>9</v>
      </c>
      <c r="E14">
        <v>1</v>
      </c>
      <c r="F14" t="s">
        <v>10</v>
      </c>
    </row>
    <row r="15" spans="1:9" x14ac:dyDescent="0.3">
      <c r="A15" t="s">
        <v>42</v>
      </c>
      <c r="B15" t="s">
        <v>43</v>
      </c>
      <c r="C15" t="s">
        <v>29</v>
      </c>
      <c r="D15" t="s">
        <v>14</v>
      </c>
      <c r="E15">
        <v>2</v>
      </c>
      <c r="F15" t="s">
        <v>15</v>
      </c>
    </row>
    <row r="16" spans="1:9" x14ac:dyDescent="0.3">
      <c r="A16" t="s">
        <v>44</v>
      </c>
      <c r="B16" t="s">
        <v>45</v>
      </c>
      <c r="C16" t="s">
        <v>18</v>
      </c>
      <c r="D16" t="s">
        <v>9</v>
      </c>
      <c r="E16">
        <v>4</v>
      </c>
      <c r="F16" t="s">
        <v>10</v>
      </c>
    </row>
    <row r="17" spans="1:6" x14ac:dyDescent="0.3">
      <c r="A17" t="s">
        <v>46</v>
      </c>
      <c r="B17" t="s">
        <v>47</v>
      </c>
      <c r="C17" t="s">
        <v>13</v>
      </c>
      <c r="D17" t="s">
        <v>14</v>
      </c>
      <c r="E17">
        <v>1</v>
      </c>
      <c r="F17" t="s">
        <v>24</v>
      </c>
    </row>
    <row r="18" spans="1:6" x14ac:dyDescent="0.3">
      <c r="A18" t="s">
        <v>48</v>
      </c>
      <c r="B18" t="s">
        <v>49</v>
      </c>
      <c r="C18" t="s">
        <v>8</v>
      </c>
      <c r="D18" t="s">
        <v>21</v>
      </c>
      <c r="E18">
        <v>5</v>
      </c>
      <c r="F18" t="s">
        <v>15</v>
      </c>
    </row>
    <row r="19" spans="1:6" x14ac:dyDescent="0.3">
      <c r="A19" t="s">
        <v>50</v>
      </c>
      <c r="B19" t="s">
        <v>51</v>
      </c>
      <c r="C19" t="s">
        <v>29</v>
      </c>
      <c r="D19" t="s">
        <v>9</v>
      </c>
      <c r="E19">
        <v>2</v>
      </c>
      <c r="F19" t="s">
        <v>10</v>
      </c>
    </row>
    <row r="20" spans="1:6" x14ac:dyDescent="0.3">
      <c r="A20" t="s">
        <v>52</v>
      </c>
      <c r="B20" t="s">
        <v>53</v>
      </c>
      <c r="C20" t="s">
        <v>18</v>
      </c>
      <c r="D20" t="s">
        <v>14</v>
      </c>
      <c r="E20">
        <v>3</v>
      </c>
      <c r="F20" t="s">
        <v>10</v>
      </c>
    </row>
    <row r="21" spans="1:6" x14ac:dyDescent="0.3">
      <c r="A21" t="s">
        <v>54</v>
      </c>
      <c r="B21" t="s">
        <v>55</v>
      </c>
      <c r="C21" t="s">
        <v>13</v>
      </c>
      <c r="D21" t="s">
        <v>9</v>
      </c>
      <c r="E21">
        <v>1</v>
      </c>
      <c r="F21" t="s">
        <v>15</v>
      </c>
    </row>
    <row r="22" spans="1:6" x14ac:dyDescent="0.3">
      <c r="A22" t="s">
        <v>56</v>
      </c>
      <c r="B22" t="s">
        <v>57</v>
      </c>
      <c r="C22" t="s">
        <v>8</v>
      </c>
      <c r="D22" t="s">
        <v>14</v>
      </c>
      <c r="E22">
        <v>2</v>
      </c>
      <c r="F22" t="s">
        <v>10</v>
      </c>
    </row>
    <row r="23" spans="1:6" x14ac:dyDescent="0.3">
      <c r="A23" t="s">
        <v>58</v>
      </c>
      <c r="B23" t="s">
        <v>59</v>
      </c>
      <c r="C23" t="s">
        <v>18</v>
      </c>
      <c r="D23" t="s">
        <v>21</v>
      </c>
      <c r="E23">
        <v>4</v>
      </c>
      <c r="F23" t="s">
        <v>10</v>
      </c>
    </row>
    <row r="24" spans="1:6" x14ac:dyDescent="0.3">
      <c r="A24" t="s">
        <v>60</v>
      </c>
      <c r="B24" t="s">
        <v>61</v>
      </c>
      <c r="C24" t="s">
        <v>29</v>
      </c>
      <c r="D24" t="s">
        <v>9</v>
      </c>
      <c r="E24">
        <v>3</v>
      </c>
      <c r="F24" t="s">
        <v>24</v>
      </c>
    </row>
    <row r="25" spans="1:6" x14ac:dyDescent="0.3">
      <c r="A25" t="s">
        <v>62</v>
      </c>
      <c r="B25" t="s">
        <v>63</v>
      </c>
      <c r="C25" t="s">
        <v>13</v>
      </c>
      <c r="D25" t="s">
        <v>21</v>
      </c>
      <c r="E25">
        <v>2</v>
      </c>
      <c r="F25" t="s">
        <v>10</v>
      </c>
    </row>
    <row r="26" spans="1:6" x14ac:dyDescent="0.3">
      <c r="A26" t="s">
        <v>64</v>
      </c>
      <c r="B26" t="s">
        <v>65</v>
      </c>
      <c r="C26" t="s">
        <v>8</v>
      </c>
      <c r="D26" t="s">
        <v>9</v>
      </c>
      <c r="E26">
        <v>1</v>
      </c>
      <c r="F26" t="s">
        <v>15</v>
      </c>
    </row>
    <row r="27" spans="1:6" x14ac:dyDescent="0.3">
      <c r="A27" t="s">
        <v>66</v>
      </c>
      <c r="B27" t="s">
        <v>67</v>
      </c>
      <c r="C27" t="s">
        <v>18</v>
      </c>
      <c r="D27" t="s">
        <v>14</v>
      </c>
      <c r="E27">
        <v>2</v>
      </c>
      <c r="F27" t="s">
        <v>10</v>
      </c>
    </row>
    <row r="28" spans="1:6" x14ac:dyDescent="0.3">
      <c r="A28" t="s">
        <v>68</v>
      </c>
      <c r="B28" t="s">
        <v>69</v>
      </c>
      <c r="C28" t="s">
        <v>29</v>
      </c>
      <c r="D28" t="s">
        <v>21</v>
      </c>
      <c r="E28">
        <v>5</v>
      </c>
      <c r="F28" t="s">
        <v>10</v>
      </c>
    </row>
    <row r="29" spans="1:6" x14ac:dyDescent="0.3">
      <c r="A29" t="s">
        <v>70</v>
      </c>
      <c r="B29" t="s">
        <v>71</v>
      </c>
      <c r="C29" t="s">
        <v>13</v>
      </c>
      <c r="D29" t="s">
        <v>9</v>
      </c>
      <c r="E29">
        <v>2</v>
      </c>
      <c r="F29" t="s">
        <v>15</v>
      </c>
    </row>
    <row r="30" spans="1:6" x14ac:dyDescent="0.3">
      <c r="A30" t="s">
        <v>72</v>
      </c>
      <c r="B30" t="s">
        <v>73</v>
      </c>
      <c r="C30" t="s">
        <v>8</v>
      </c>
      <c r="D30" t="s">
        <v>14</v>
      </c>
      <c r="E30">
        <v>3</v>
      </c>
      <c r="F30" t="s">
        <v>24</v>
      </c>
    </row>
    <row r="31" spans="1:6" x14ac:dyDescent="0.3">
      <c r="A31" t="s">
        <v>74</v>
      </c>
      <c r="B31" t="s">
        <v>75</v>
      </c>
      <c r="C31" t="s">
        <v>18</v>
      </c>
      <c r="D31" t="s">
        <v>9</v>
      </c>
      <c r="E31">
        <v>1</v>
      </c>
      <c r="F31" t="s">
        <v>10</v>
      </c>
    </row>
  </sheetData>
  <dataValidations count="2">
    <dataValidation type="list" allowBlank="1" showInputMessage="1" showErrorMessage="1" sqref="D1" xr:uid="{48B94D63-2F49-4B50-A873-DB4323535C8B}">
      <formula1>"Casual Leave, Sick Leave, Annual Leave"</formula1>
    </dataValidation>
    <dataValidation type="list" allowBlank="1" showInputMessage="1" showErrorMessage="1" sqref="F1" xr:uid="{2CABB500-2A24-42B8-817F-3E4EC436565E}">
      <formula1>"Approve, Pending, Reject"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Chandushree C</dc:creator>
  <cp:lastModifiedBy>Chandushree C</cp:lastModifiedBy>
  <dcterms:created xsi:type="dcterms:W3CDTF">2015-06-05T18:17:20Z</dcterms:created>
  <dcterms:modified xsi:type="dcterms:W3CDTF">2026-09-22T04:04:09Z</dcterms:modified>
</cp:coreProperties>
</file>