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d1269370f6084a/Documents/"/>
    </mc:Choice>
  </mc:AlternateContent>
  <xr:revisionPtr revIDLastSave="0" documentId="8_{E9EE4820-637E-4924-B031-8D01A21E26D8}" xr6:coauthVersionLast="47" xr6:coauthVersionMax="47" xr10:uidLastSave="{00000000-0000-0000-0000-000000000000}"/>
  <bookViews>
    <workbookView xWindow="-96" yWindow="0" windowWidth="14016" windowHeight="12336" activeTab="1" xr2:uid="{FE4414F9-7F15-4C99-ABF2-2D7B7F6621F4}"/>
  </bookViews>
  <sheets>
    <sheet name="Employee Master" sheetId="1" r:id="rId1"/>
    <sheet name="Salary 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G5" i="2"/>
  <c r="G4" i="2"/>
  <c r="G3" i="2"/>
  <c r="D3" i="2"/>
  <c r="D4" i="2"/>
  <c r="D5" i="2"/>
  <c r="D6" i="2"/>
  <c r="D7" i="2"/>
  <c r="D8" i="2"/>
  <c r="D9" i="2"/>
  <c r="D10" i="2"/>
  <c r="D11" i="2"/>
  <c r="D2" i="2"/>
  <c r="C2" i="2"/>
  <c r="C3" i="2"/>
  <c r="C4" i="2"/>
  <c r="C5" i="2"/>
  <c r="C6" i="2"/>
  <c r="C7" i="2"/>
  <c r="C8" i="2"/>
  <c r="C9" i="2"/>
  <c r="C10" i="2"/>
  <c r="C11" i="2"/>
  <c r="B3" i="2"/>
  <c r="B4" i="2"/>
  <c r="B5" i="2"/>
  <c r="B6" i="2"/>
  <c r="B7" i="2"/>
  <c r="B8" i="2"/>
  <c r="B9" i="2"/>
  <c r="B10" i="2"/>
  <c r="B11" i="2"/>
  <c r="B2" i="2"/>
</calcChain>
</file>

<file path=xl/sharedStrings.xml><?xml version="1.0" encoding="utf-8"?>
<sst xmlns="http://schemas.openxmlformats.org/spreadsheetml/2006/main" count="67" uniqueCount="42">
  <si>
    <t>Employee ID</t>
  </si>
  <si>
    <t>Employee Name</t>
  </si>
  <si>
    <t>Department</t>
  </si>
  <si>
    <t>Salary</t>
  </si>
  <si>
    <t>E001</t>
  </si>
  <si>
    <t>Rahul Sharma</t>
  </si>
  <si>
    <t>IT</t>
  </si>
  <si>
    <t>E002</t>
  </si>
  <si>
    <t>Priya Rao</t>
  </si>
  <si>
    <t>HR</t>
  </si>
  <si>
    <t>E003</t>
  </si>
  <si>
    <t>Arun Kumar</t>
  </si>
  <si>
    <t>Finance</t>
  </si>
  <si>
    <t>E004</t>
  </si>
  <si>
    <t>Sneha Patil</t>
  </si>
  <si>
    <t>E005</t>
  </si>
  <si>
    <t>Kiran Das</t>
  </si>
  <si>
    <t>E006</t>
  </si>
  <si>
    <t>Anita Singh</t>
  </si>
  <si>
    <t>E007</t>
  </si>
  <si>
    <t>Vijay Kumar</t>
  </si>
  <si>
    <t>Sales</t>
  </si>
  <si>
    <t>E008</t>
  </si>
  <si>
    <t>Meena Joshi</t>
  </si>
  <si>
    <t>E009</t>
  </si>
  <si>
    <t>Ravi Shetty</t>
  </si>
  <si>
    <t>E010</t>
  </si>
  <si>
    <t>Divya Rao</t>
  </si>
  <si>
    <t>E011</t>
  </si>
  <si>
    <t>Anil Kumar</t>
  </si>
  <si>
    <t>E012</t>
  </si>
  <si>
    <t>Pooja Nair</t>
  </si>
  <si>
    <t>E013</t>
  </si>
  <si>
    <t>Suresh B</t>
  </si>
  <si>
    <t>E014</t>
  </si>
  <si>
    <t>Kavya R</t>
  </si>
  <si>
    <t>E015</t>
  </si>
  <si>
    <t>Manoj Rao</t>
  </si>
  <si>
    <t>Total Salary</t>
  </si>
  <si>
    <t>Average Salary</t>
  </si>
  <si>
    <t>Highest Salary</t>
  </si>
  <si>
    <t>Lowest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</si>
</sst>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4110-957F-4BD9-B670-F1F79356F678}">
  <dimension ref="A1:D16"/>
  <sheetViews>
    <sheetView workbookViewId="0">
      <selection activeCell="E1" sqref="E1"/>
    </sheetView>
  </sheetViews>
  <sheetFormatPr defaultRowHeight="14.4" x14ac:dyDescent="0.3"/>
  <cols>
    <col min="1" max="1" width="11.5546875" bestFit="1" customWidth="1"/>
    <col min="2" max="2" width="14.88671875" bestFit="1" customWidth="1"/>
    <col min="3" max="3" width="1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35000</v>
      </c>
    </row>
    <row r="3" spans="1:4" x14ac:dyDescent="0.3">
      <c r="A3" t="s">
        <v>7</v>
      </c>
      <c r="B3" t="s">
        <v>8</v>
      </c>
      <c r="C3" t="s">
        <v>9</v>
      </c>
      <c r="D3">
        <v>32000</v>
      </c>
    </row>
    <row r="4" spans="1:4" x14ac:dyDescent="0.3">
      <c r="A4" t="s">
        <v>10</v>
      </c>
      <c r="B4" t="s">
        <v>11</v>
      </c>
      <c r="C4" t="s">
        <v>12</v>
      </c>
      <c r="D4">
        <v>38000</v>
      </c>
    </row>
    <row r="5" spans="1:4" x14ac:dyDescent="0.3">
      <c r="A5" t="s">
        <v>13</v>
      </c>
      <c r="B5" t="s">
        <v>14</v>
      </c>
      <c r="C5" t="s">
        <v>6</v>
      </c>
      <c r="D5">
        <v>42000</v>
      </c>
    </row>
    <row r="6" spans="1:4" x14ac:dyDescent="0.3">
      <c r="A6" t="s">
        <v>15</v>
      </c>
      <c r="B6" t="s">
        <v>16</v>
      </c>
      <c r="C6" t="s">
        <v>9</v>
      </c>
      <c r="D6">
        <v>30000</v>
      </c>
    </row>
    <row r="7" spans="1:4" x14ac:dyDescent="0.3">
      <c r="A7" t="s">
        <v>17</v>
      </c>
      <c r="B7" t="s">
        <v>18</v>
      </c>
      <c r="C7" t="s">
        <v>12</v>
      </c>
      <c r="D7">
        <v>45000</v>
      </c>
    </row>
    <row r="8" spans="1:4" x14ac:dyDescent="0.3">
      <c r="A8" t="s">
        <v>19</v>
      </c>
      <c r="B8" t="s">
        <v>20</v>
      </c>
      <c r="C8" t="s">
        <v>21</v>
      </c>
      <c r="D8">
        <v>36000</v>
      </c>
    </row>
    <row r="9" spans="1:4" x14ac:dyDescent="0.3">
      <c r="A9" t="s">
        <v>22</v>
      </c>
      <c r="B9" t="s">
        <v>23</v>
      </c>
      <c r="C9" t="s">
        <v>9</v>
      </c>
      <c r="D9">
        <v>34000</v>
      </c>
    </row>
    <row r="10" spans="1:4" x14ac:dyDescent="0.3">
      <c r="A10" t="s">
        <v>24</v>
      </c>
      <c r="B10" t="s">
        <v>25</v>
      </c>
      <c r="C10" t="s">
        <v>6</v>
      </c>
      <c r="D10">
        <v>40000</v>
      </c>
    </row>
    <row r="11" spans="1:4" x14ac:dyDescent="0.3">
      <c r="A11" t="s">
        <v>26</v>
      </c>
      <c r="B11" t="s">
        <v>27</v>
      </c>
      <c r="C11" t="s">
        <v>12</v>
      </c>
      <c r="D11">
        <v>48000</v>
      </c>
    </row>
    <row r="12" spans="1:4" x14ac:dyDescent="0.3">
      <c r="A12" t="s">
        <v>28</v>
      </c>
      <c r="B12" t="s">
        <v>29</v>
      </c>
      <c r="C12" t="s">
        <v>21</v>
      </c>
      <c r="D12">
        <v>33000</v>
      </c>
    </row>
    <row r="13" spans="1:4" x14ac:dyDescent="0.3">
      <c r="A13" t="s">
        <v>30</v>
      </c>
      <c r="B13" t="s">
        <v>31</v>
      </c>
      <c r="C13" t="s">
        <v>9</v>
      </c>
      <c r="D13">
        <v>37000</v>
      </c>
    </row>
    <row r="14" spans="1:4" x14ac:dyDescent="0.3">
      <c r="A14" t="s">
        <v>32</v>
      </c>
      <c r="B14" t="s">
        <v>33</v>
      </c>
      <c r="C14" t="s">
        <v>6</v>
      </c>
      <c r="D14">
        <v>39000</v>
      </c>
    </row>
    <row r="15" spans="1:4" x14ac:dyDescent="0.3">
      <c r="A15" t="s">
        <v>34</v>
      </c>
      <c r="B15" t="s">
        <v>35</v>
      </c>
      <c r="C15" t="s">
        <v>21</v>
      </c>
      <c r="D15">
        <v>35000</v>
      </c>
    </row>
    <row r="16" spans="1:4" x14ac:dyDescent="0.3">
      <c r="A16" t="s">
        <v>36</v>
      </c>
      <c r="B16" t="s">
        <v>37</v>
      </c>
      <c r="C16" t="s">
        <v>12</v>
      </c>
      <c r="D16">
        <v>44000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D169-3552-43E8-8110-BE6C9E080932}">
  <dimension ref="A1:G11"/>
  <sheetViews>
    <sheetView tabSelected="1" workbookViewId="0">
      <selection activeCell="G7" sqref="G7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0.77734375" bestFit="1" customWidth="1"/>
    <col min="4" max="4" width="10.44140625" bestFit="1" customWidth="1"/>
    <col min="6" max="6" width="13.5546875" bestFit="1" customWidth="1"/>
    <col min="7" max="7" width="11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7" x14ac:dyDescent="0.3">
      <c r="A2" t="s">
        <v>10</v>
      </c>
      <c r="B2" t="str">
        <f>VLOOKUP(A2,'Employee Master'!$A$2:$D$16,2,FALSE)</f>
        <v>Arun Kumar</v>
      </c>
      <c r="C2" t="str">
        <f>VLOOKUP(A2,'Employee Master'!$A$2:$D$16,3,FALSE)</f>
        <v>Finance</v>
      </c>
      <c r="D2" s="3">
        <f>VLOOKUP(A2,'Employee Master'!$A$2:$D$16,4,FALSE)</f>
        <v>38000</v>
      </c>
    </row>
    <row r="3" spans="1:7" x14ac:dyDescent="0.3">
      <c r="A3" t="s">
        <v>19</v>
      </c>
      <c r="B3" t="str">
        <f>VLOOKUP(A3,'Employee Master'!$A$2:$D$16,2,FALSE)</f>
        <v>Vijay Kumar</v>
      </c>
      <c r="C3" t="str">
        <f>VLOOKUP(A3,'Employee Master'!$A$2:$D$16,3,FALSE)</f>
        <v>Sales</v>
      </c>
      <c r="D3" s="3">
        <f>VLOOKUP(A3,'Employee Master'!$A$2:$D$16,4,FALSE)</f>
        <v>36000</v>
      </c>
      <c r="F3" s="1" t="s">
        <v>38</v>
      </c>
      <c r="G3" s="3">
        <f>SUM(D2:D11)</f>
        <v>395000</v>
      </c>
    </row>
    <row r="4" spans="1:7" x14ac:dyDescent="0.3">
      <c r="A4" t="s">
        <v>26</v>
      </c>
      <c r="B4" t="str">
        <f>VLOOKUP(A4,'Employee Master'!$A$2:$D$16,2,FALSE)</f>
        <v>Divya Rao</v>
      </c>
      <c r="C4" t="str">
        <f>VLOOKUP(A4,'Employee Master'!$A$2:$D$16,3,FALSE)</f>
        <v>Finance</v>
      </c>
      <c r="D4" s="3">
        <f>VLOOKUP(A4,'Employee Master'!$A$2:$D$16,4,FALSE)</f>
        <v>48000</v>
      </c>
      <c r="F4" s="1" t="s">
        <v>39</v>
      </c>
      <c r="G4" s="3">
        <f>AVERAGE(D2:D11)</f>
        <v>39500</v>
      </c>
    </row>
    <row r="5" spans="1:7" x14ac:dyDescent="0.3">
      <c r="A5" t="s">
        <v>7</v>
      </c>
      <c r="B5" t="str">
        <f>VLOOKUP(A5,'Employee Master'!$A$2:$D$16,2,FALSE)</f>
        <v>Priya Rao</v>
      </c>
      <c r="C5" t="str">
        <f>VLOOKUP(A5,'Employee Master'!$A$2:$D$16,3,FALSE)</f>
        <v>HR</v>
      </c>
      <c r="D5" s="3">
        <f>VLOOKUP(A5,'Employee Master'!$A$2:$D$16,4,FALSE)</f>
        <v>32000</v>
      </c>
      <c r="F5" s="1" t="s">
        <v>40</v>
      </c>
      <c r="G5" s="3">
        <f>MAX(D2:D11)</f>
        <v>48000</v>
      </c>
    </row>
    <row r="6" spans="1:7" x14ac:dyDescent="0.3">
      <c r="A6" t="s">
        <v>36</v>
      </c>
      <c r="B6" t="str">
        <f>VLOOKUP(A6,'Employee Master'!$A$2:$D$16,2,FALSE)</f>
        <v>Manoj Rao</v>
      </c>
      <c r="C6" t="str">
        <f>VLOOKUP(A6,'Employee Master'!$A$2:$D$16,3,FALSE)</f>
        <v>Finance</v>
      </c>
      <c r="D6" s="3">
        <f>VLOOKUP(A6,'Employee Master'!$A$2:$D$16,4,FALSE)</f>
        <v>44000</v>
      </c>
      <c r="F6" s="1" t="s">
        <v>41</v>
      </c>
      <c r="G6" s="3">
        <f>MIN(D2:D11)</f>
        <v>32000</v>
      </c>
    </row>
    <row r="7" spans="1:7" x14ac:dyDescent="0.3">
      <c r="A7" t="s">
        <v>13</v>
      </c>
      <c r="B7" t="str">
        <f>VLOOKUP(A7,'Employee Master'!$A$2:$D$16,2,FALSE)</f>
        <v>Sneha Patil</v>
      </c>
      <c r="C7" t="str">
        <f>VLOOKUP(A7,'Employee Master'!$A$2:$D$16,3,FALSE)</f>
        <v>IT</v>
      </c>
      <c r="D7" s="3">
        <f>VLOOKUP(A7,'Employee Master'!$A$2:$D$16,4,FALSE)</f>
        <v>42000</v>
      </c>
    </row>
    <row r="8" spans="1:7" x14ac:dyDescent="0.3">
      <c r="A8" t="s">
        <v>28</v>
      </c>
      <c r="B8" t="str">
        <f>VLOOKUP(A8,'Employee Master'!$A$2:$D$16,2,FALSE)</f>
        <v>Anil Kumar</v>
      </c>
      <c r="C8" t="str">
        <f>VLOOKUP(A8,'Employee Master'!$A$2:$D$16,3,FALSE)</f>
        <v>Sales</v>
      </c>
      <c r="D8" s="3">
        <f>VLOOKUP(A8,'Employee Master'!$A$2:$D$16,4,FALSE)</f>
        <v>33000</v>
      </c>
    </row>
    <row r="9" spans="1:7" x14ac:dyDescent="0.3">
      <c r="A9" t="s">
        <v>24</v>
      </c>
      <c r="B9" t="str">
        <f>VLOOKUP(A9,'Employee Master'!$A$2:$D$16,2,FALSE)</f>
        <v>Ravi Shetty</v>
      </c>
      <c r="C9" t="str">
        <f>VLOOKUP(A9,'Employee Master'!$A$2:$D$16,3,FALSE)</f>
        <v>IT</v>
      </c>
      <c r="D9" s="3">
        <f>VLOOKUP(A9,'Employee Master'!$A$2:$D$16,4,FALSE)</f>
        <v>40000</v>
      </c>
    </row>
    <row r="10" spans="1:7" x14ac:dyDescent="0.3">
      <c r="A10" t="s">
        <v>17</v>
      </c>
      <c r="B10" t="str">
        <f>VLOOKUP(A10,'Employee Master'!$A$2:$D$16,2,FALSE)</f>
        <v>Anita Singh</v>
      </c>
      <c r="C10" t="str">
        <f>VLOOKUP(A10,'Employee Master'!$A$2:$D$16,3,FALSE)</f>
        <v>Finance</v>
      </c>
      <c r="D10" s="3">
        <f>VLOOKUP(A10,'Employee Master'!$A$2:$D$16,4,FALSE)</f>
        <v>45000</v>
      </c>
    </row>
    <row r="11" spans="1:7" x14ac:dyDescent="0.3">
      <c r="A11" t="s">
        <v>30</v>
      </c>
      <c r="B11" t="str">
        <f>VLOOKUP(A11,'Employee Master'!$A$2:$D$16,2,FALSE)</f>
        <v>Pooja Nair</v>
      </c>
      <c r="C11" t="str">
        <f>VLOOKUP(A11,'Employee Master'!$A$2:$D$16,3,FALSE)</f>
        <v>HR</v>
      </c>
      <c r="D11" s="3">
        <f>VLOOKUP(A11,'Employee Master'!$A$2:$D$16,4,FALSE)</f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Master</vt:lpstr>
      <vt:lpstr>Salary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Chandushree C</dc:creator>
  <cp:lastModifiedBy>Chandushree C</cp:lastModifiedBy>
  <dcterms:created xsi:type="dcterms:W3CDTF">2026-09-22T05:25:44Z</dcterms:created>
  <dcterms:modified xsi:type="dcterms:W3CDTF">2026-09-22T05:49:41Z</dcterms:modified>
</cp:coreProperties>
</file>